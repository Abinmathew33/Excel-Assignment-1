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ata Analytics Assignment\"/>
    </mc:Choice>
  </mc:AlternateContent>
  <xr:revisionPtr revIDLastSave="0" documentId="13_ncr:1_{D5260AB9-202F-4D95-BF66-30CDCF504F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I2" i="2" l="1" a="1"/>
  <c r="G2" i="2"/>
  <c r="H2" i="2"/>
  <c r="J2" i="2" a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M13" i="2"/>
  <c r="M1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M5" i="2"/>
  <c r="M10" i="2"/>
  <c r="M9" i="2"/>
  <c r="M7" i="2"/>
  <c r="M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<sst xmlns="http://schemas.openxmlformats.org/spreadsheetml/2006/main" count="170" uniqueCount="121">
  <si>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</si>
  <si>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</si>
  <si>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</si>
  <si>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</si>
  <si>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</si>
  <si>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</si>
  <si>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</si>
  <si>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</si>
  <si>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</si>
  <si>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</si>
  <si>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</si>
  <si>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</si>
  <si>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</si>
  <si>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</si>
  <si>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</si>
  <si>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</si>
  <si>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</si>
  <si>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</si>
  <si>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</si>
  <si>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</si>
  <si>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</si>
  <si>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</si>
  <si>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</si>
  <si>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</si>
  <si>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</si>
  <si>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</si>
  <si>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</si>
  <si>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</si>
  <si>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</si>
  <si>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</si>
  <si>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</si>
  <si>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</si>
  <si>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</si>
  <si>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</si>
  <si>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</si>
  <si>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</si>
  <si>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</si>
  <si>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</si>
  <si>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</si>
  <si>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</si>
  <si>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</si>
  <si>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</si>
  <si>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</si>
  <si>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</si>
  <si>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</si>
  <si>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</si>
  <si>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</si>
  <si>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</si>
  <si>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</si>
  <si>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</si>
  <si>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</si>
  <si>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</si>
  <si>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</si>
  <si>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</si>
  <si>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</si>
  <si>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</si>
  <si>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</si>
  <si>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</si>
  <si>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</si>
  <si>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</si>
  <si>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</si>
  <si>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</si>
  <si>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</si>
  <si>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</si>
  <si>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</si>
  <si>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</si>
  <si>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</si>
  <si>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</si>
  <si>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</si>
  <si>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</si>
  <si>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</si>
  <si>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</si>
  <si>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</si>
  <si>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</si>
  <si>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</si>
  <si>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</si>
  <si>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</si>
  <si>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</si>
  <si>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</si>
  <si>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</si>
  <si>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</si>
  <si>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</si>
  <si>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</si>
  <si>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</si>
  <si>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</si>
  <si>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</si>
  <si>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</si>
  <si>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</si>
  <si>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</si>
  <si>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</si>
  <si>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</si>
  <si>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</si>
  <si>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</si>
  <si>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</si>
  <si>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</si>
  <si>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</si>
  <si>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</si>
  <si>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</si>
  <si>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</si>
  <si>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</si>
  <si>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</si>
  <si>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</si>
  <si>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</si>
  <si>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</si>
  <si>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</si>
  <si>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</si>
  <si>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</si>
  <si>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</si>
  <si>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</si>
  <si>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</si>
  <si>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 -</t>
  </si>
  <si>
    <t>No.of products-</t>
  </si>
  <si>
    <t>Averagre price of products-</t>
  </si>
  <si>
    <t>Minimum price</t>
  </si>
  <si>
    <t>Maximum price</t>
  </si>
  <si>
    <t>Price Range</t>
  </si>
  <si>
    <t>Total Price of Electronics Products-</t>
  </si>
  <si>
    <t>Count of product less than $100-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</si>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</sst>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workbookViewId="0">
      <selection activeCell="I3" sqref="I3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9" max="9" width="16.77734375" customWidth="1"/>
    <col min="12" max="12" width="30.109375" customWidth="1"/>
  </cols>
  <sheetData>
    <row r="1" spans="1:13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118</v>
      </c>
      <c r="I1" s="5" t="s">
        <v>119</v>
      </c>
      <c r="J1" s="5" t="s">
        <v>120</v>
      </c>
    </row>
    <row r="2" spans="1:13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s="8" t="str">
        <f>LEFT(A2,"2")</f>
        <v>28</v>
      </c>
      <c r="I2" s="8" t="str" cm="1">
        <f t="array" ref="I2:I35">RIGHT(A2:A35,"2")</f>
        <v>US</v>
      </c>
      <c r="J2" s="8" t="str" cm="1">
        <f t="array" ref="J2:J35">MID(A2:A35,"4","3")</f>
        <v>JAN</v>
      </c>
    </row>
    <row r="3" spans="1:13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IF(D3&gt;=500,"High Price","Standard Price")</f>
        <v>Standard Price</v>
      </c>
      <c r="H3" s="8" t="str">
        <f t="shared" ref="H3:H35" si="1">LEFT(A3,"2")</f>
        <v>15</v>
      </c>
      <c r="I3" s="8" t="str">
        <v>US</v>
      </c>
      <c r="J3" s="8" t="str">
        <v>FEB</v>
      </c>
    </row>
    <row r="4" spans="1:13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8" t="str">
        <f t="shared" si="1"/>
        <v>03</v>
      </c>
      <c r="I4" s="8" t="str">
        <v>US</v>
      </c>
      <c r="J4" s="8" t="str">
        <v>MAR</v>
      </c>
    </row>
    <row r="5" spans="1:13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 Price</v>
      </c>
      <c r="H5" s="8" t="str">
        <f t="shared" si="1"/>
        <v>11</v>
      </c>
      <c r="I5" s="8" t="str">
        <v>US</v>
      </c>
      <c r="J5" s="8" t="str">
        <v>APR</v>
      </c>
      <c r="L5" t="s">
        <v>110</v>
      </c>
      <c r="M5">
        <f>SUM(D2:D35)</f>
        <v>10100</v>
      </c>
    </row>
    <row r="6" spans="1:13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8" t="str">
        <f t="shared" si="1"/>
        <v>22</v>
      </c>
      <c r="I6" s="8" t="str">
        <v>US</v>
      </c>
      <c r="J6" s="8" t="str">
        <v>MAY</v>
      </c>
      <c r="L6" t="s">
        <v>111</v>
      </c>
      <c r="M6">
        <f>COUNTA(B2:B35)</f>
        <v>34</v>
      </c>
    </row>
    <row r="7" spans="1:13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s="8" t="str">
        <f t="shared" si="1"/>
        <v>07</v>
      </c>
      <c r="I7" s="8" t="str">
        <v>UK</v>
      </c>
      <c r="J7" s="8" t="str">
        <v>JUN</v>
      </c>
      <c r="L7" t="s">
        <v>112</v>
      </c>
      <c r="M7">
        <f>AVERAGE(D2:D35)</f>
        <v>297.05882352941177</v>
      </c>
    </row>
    <row r="8" spans="1:13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8" t="str">
        <f t="shared" si="1"/>
        <v>19</v>
      </c>
      <c r="I8" s="8" t="str">
        <v>UK</v>
      </c>
      <c r="J8" s="8" t="str">
        <v>JUL</v>
      </c>
    </row>
    <row r="9" spans="1:13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s="8" t="str">
        <f t="shared" si="1"/>
        <v>23</v>
      </c>
      <c r="I9" s="8" t="str">
        <v>UK</v>
      </c>
      <c r="J9" s="8" t="str">
        <v>AUG</v>
      </c>
      <c r="L9" t="s">
        <v>113</v>
      </c>
      <c r="M9">
        <f>MIN(D2:D35)</f>
        <v>30</v>
      </c>
    </row>
    <row r="10" spans="1:13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s="8" t="str">
        <f t="shared" si="1"/>
        <v>05</v>
      </c>
      <c r="I10" s="8" t="str">
        <v>UK</v>
      </c>
      <c r="J10" s="8" t="str">
        <v>SEP</v>
      </c>
      <c r="L10" t="s">
        <v>114</v>
      </c>
      <c r="M10">
        <f>MAX(D2:D35)</f>
        <v>1000</v>
      </c>
    </row>
    <row r="11" spans="1:13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s="8" t="str">
        <f t="shared" si="1"/>
        <v>14</v>
      </c>
      <c r="I11" s="8" t="str">
        <v>UK</v>
      </c>
      <c r="J11" s="8" t="str">
        <v>OCT</v>
      </c>
    </row>
    <row r="12" spans="1:13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8" t="str">
        <f t="shared" si="1"/>
        <v>17</v>
      </c>
      <c r="I12" s="8" t="str">
        <v>IN</v>
      </c>
      <c r="J12" s="8" t="str">
        <v>JUN</v>
      </c>
      <c r="L12" t="s">
        <v>116</v>
      </c>
      <c r="M12">
        <f>SUMIF(F2:F35,"Electronics",D2:D35)</f>
        <v>8050</v>
      </c>
    </row>
    <row r="13" spans="1:13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s="8" t="str">
        <f t="shared" si="1"/>
        <v>25</v>
      </c>
      <c r="I13" s="8" t="str">
        <v>AU</v>
      </c>
      <c r="J13" s="8" t="str">
        <v>NOV</v>
      </c>
      <c r="L13" t="s">
        <v>117</v>
      </c>
      <c r="M13">
        <f>COUNTIF(D2:D35,"&lt;100")</f>
        <v>11</v>
      </c>
    </row>
    <row r="14" spans="1:13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8" t="str">
        <f t="shared" si="1"/>
        <v>08</v>
      </c>
      <c r="I14" s="8" t="str">
        <v>DE</v>
      </c>
      <c r="J14" s="8" t="str">
        <v>DEC</v>
      </c>
    </row>
    <row r="15" spans="1:13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s="8" t="str">
        <f t="shared" si="1"/>
        <v>18</v>
      </c>
      <c r="I15" s="8" t="str">
        <v>CA</v>
      </c>
      <c r="J15" s="8" t="str">
        <v>FEB</v>
      </c>
    </row>
    <row r="16" spans="1:13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8" t="str">
        <f t="shared" si="1"/>
        <v>16</v>
      </c>
      <c r="I16" s="8" t="str">
        <v>ES</v>
      </c>
      <c r="J16" s="8" t="str"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s="8" t="str">
        <f t="shared" si="1"/>
        <v>21</v>
      </c>
      <c r="I17" s="8" t="str">
        <v>CA</v>
      </c>
      <c r="J17" s="8" t="str"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8" t="str">
        <f t="shared" si="1"/>
        <v>20</v>
      </c>
      <c r="I18" s="8" t="str">
        <v>CN</v>
      </c>
      <c r="J18" s="8" t="str"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 Price</v>
      </c>
      <c r="H19" s="8" t="str">
        <f t="shared" si="1"/>
        <v>27</v>
      </c>
      <c r="I19" s="8" t="str">
        <v>IT</v>
      </c>
      <c r="J19" s="8" t="str"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8" t="str">
        <f t="shared" si="1"/>
        <v>01</v>
      </c>
      <c r="I20" s="8" t="str">
        <v>UK</v>
      </c>
      <c r="J20" s="8" t="str"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s="8" t="str">
        <f t="shared" si="1"/>
        <v>14</v>
      </c>
      <c r="I21" s="8" t="str">
        <v>US</v>
      </c>
      <c r="J21" s="8" t="str"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8" t="str">
        <f t="shared" si="1"/>
        <v>14</v>
      </c>
      <c r="I22" s="8" t="str">
        <v>RU</v>
      </c>
      <c r="J22" s="8" t="str"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s="8" t="str">
        <f t="shared" si="1"/>
        <v>09</v>
      </c>
      <c r="I23" s="8" t="str">
        <v>CA</v>
      </c>
      <c r="J23" s="8" t="str"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8" t="str">
        <f t="shared" si="1"/>
        <v>19</v>
      </c>
      <c r="I24" s="8" t="str">
        <v>BR</v>
      </c>
      <c r="J24" s="8" t="str">
        <v>JUL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s="8" t="str">
        <f t="shared" si="1"/>
        <v>21</v>
      </c>
      <c r="I25" s="8" t="str">
        <v>CA</v>
      </c>
      <c r="J25" s="8" t="str"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8" t="str">
        <f t="shared" si="1"/>
        <v>29</v>
      </c>
      <c r="I26" s="8" t="str">
        <v>CA</v>
      </c>
      <c r="J26" s="8" t="str">
        <v>SEP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s="8" t="str">
        <f t="shared" si="1"/>
        <v>03</v>
      </c>
      <c r="I27" s="8" t="str">
        <v>CA</v>
      </c>
      <c r="J27" s="8" t="str"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8" t="str">
        <f t="shared" si="1"/>
        <v>11</v>
      </c>
      <c r="I28" s="8" t="str">
        <v>CA</v>
      </c>
      <c r="J28" s="8" t="str">
        <v>JUL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s="8" t="str">
        <f t="shared" si="1"/>
        <v>16</v>
      </c>
      <c r="I29" s="8" t="str">
        <v>ES</v>
      </c>
      <c r="J29" s="8" t="str"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8" t="str">
        <f t="shared" si="1"/>
        <v>07</v>
      </c>
      <c r="I30" s="8" t="str">
        <v>CA</v>
      </c>
      <c r="J30" s="8" t="str">
        <v>MAR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s="8" t="str">
        <f t="shared" si="1"/>
        <v>13</v>
      </c>
      <c r="I31" s="8" t="str">
        <v>CA</v>
      </c>
      <c r="J31" s="8" t="str"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8" t="str">
        <f t="shared" si="1"/>
        <v>24</v>
      </c>
      <c r="I32" s="8" t="str">
        <v>CA</v>
      </c>
      <c r="J32" s="8" t="str"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s="8" t="str">
        <f t="shared" si="1"/>
        <v>02</v>
      </c>
      <c r="I33" s="8" t="str">
        <v>CA</v>
      </c>
      <c r="J33" s="8" t="str"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8" t="str">
        <f t="shared" si="1"/>
        <v>17</v>
      </c>
      <c r="I34" s="8" t="str">
        <v>IN</v>
      </c>
      <c r="J34" s="8" t="str"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s="8" t="str">
        <f t="shared" si="1"/>
        <v>09</v>
      </c>
      <c r="I35" s="8" t="str">
        <v>FR</v>
      </c>
      <c r="J35" s="8" t="str"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MINOTAUR</dc:creator>
  <cp:lastModifiedBy>Abin Mathew</cp:lastModifiedBy>
  <dcterms:created xsi:type="dcterms:W3CDTF">2026-10-11T04:14:27Z</dcterms:created>
  <dcterms:modified xsi:type="dcterms:W3CDTF">2026-10-11T04:20:16Z</dcterms:modified>
</cp:coreProperties>
</file>